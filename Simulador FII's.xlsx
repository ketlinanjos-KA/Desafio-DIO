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37862\Downloads\"/>
    </mc:Choice>
  </mc:AlternateContent>
  <xr:revisionPtr revIDLastSave="0" documentId="13_ncr:1_{9AAE6584-38CE-4347-A40E-31C472ED3242}" xr6:coauthVersionLast="47" xr6:coauthVersionMax="47" xr10:uidLastSave="{00000000-0000-0000-0000-000000000000}"/>
  <bookViews>
    <workbookView xWindow="-110" yWindow="-110" windowWidth="19420" windowHeight="10300" tabRatio="283" xr2:uid="{775D2BCC-C34B-465D-AA18-FFBF3826D5F2}"/>
  </bookViews>
  <sheets>
    <sheet name="Instruções" sheetId="4" r:id="rId1"/>
    <sheet name="Simulador" sheetId="1" r:id="rId2"/>
    <sheet name="DT_Base" sheetId="2" state="hidden" r:id="rId3"/>
  </sheets>
  <definedNames>
    <definedName name="Anos_Investidos">Simulador!$C$13</definedName>
    <definedName name="Dividendo_Mensal">Simulador!$C$18</definedName>
    <definedName name="Investimento_Mensal">Simulador!$C$11</definedName>
    <definedName name="Patrimonio_Acumulado">Simulador!$C$17</definedName>
    <definedName name="Rendimento_Carteira">Simulador!$C$6</definedName>
    <definedName name="Salario">Simulador!$C$4</definedName>
    <definedName name="Taxa_Rendimento">Simulador!$C$15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7" i="1"/>
  <c r="B28" i="1"/>
  <c r="B29" i="1"/>
  <c r="B30" i="1"/>
  <c r="B31" i="1"/>
  <c r="C23" i="1"/>
  <c r="C17" i="1"/>
  <c r="C18" i="1" s="1"/>
  <c r="C8" i="1"/>
  <c r="I9" i="2"/>
  <c r="J9" i="2" s="1"/>
  <c r="I8" i="2"/>
  <c r="J8" i="2" s="1"/>
  <c r="I6" i="2"/>
  <c r="J6" i="2" s="1"/>
  <c r="I10" i="2"/>
  <c r="J10" i="2" s="1"/>
  <c r="I7" i="2"/>
  <c r="J7" i="2" s="1"/>
  <c r="I5" i="2"/>
  <c r="J5" i="2" s="1"/>
  <c r="I4" i="2"/>
  <c r="J4" i="2" s="1"/>
  <c r="I3" i="2"/>
  <c r="J3" i="2" s="1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M4" i="2" l="1"/>
  <c r="N4" i="2" s="1"/>
  <c r="C27" i="1" s="1"/>
  <c r="M5" i="2"/>
  <c r="N5" i="2" s="1"/>
  <c r="C28" i="1" s="1"/>
  <c r="M6" i="2"/>
  <c r="N6" i="2" s="1"/>
  <c r="C29" i="1" s="1"/>
  <c r="M7" i="2"/>
  <c r="N7" i="2" s="1"/>
  <c r="C30" i="1" s="1"/>
  <c r="M3" i="2"/>
  <c r="N3" i="2" s="1"/>
  <c r="C26" i="1" s="1"/>
  <c r="M8" i="2"/>
  <c r="N8" i="2" s="1"/>
  <c r="C31" i="1" s="1"/>
  <c r="N9" i="2" l="1"/>
</calcChain>
</file>

<file path=xl/sharedStrings.xml><?xml version="1.0" encoding="utf-8"?>
<sst xmlns="http://schemas.openxmlformats.org/spreadsheetml/2006/main" count="78" uniqueCount="42">
  <si>
    <t>Patrimônio Acumulado</t>
  </si>
  <si>
    <t>30 Anos</t>
  </si>
  <si>
    <t>20 Anos</t>
  </si>
  <si>
    <t>2 Anos</t>
  </si>
  <si>
    <t>5 Anos</t>
  </si>
  <si>
    <t>10 Anos</t>
  </si>
  <si>
    <t>Dividendo</t>
  </si>
  <si>
    <t>Rendimento Carteira</t>
  </si>
  <si>
    <t>Salário</t>
  </si>
  <si>
    <t>Conservador</t>
  </si>
  <si>
    <t>PERFIL</t>
  </si>
  <si>
    <t>TIPO DE FII</t>
  </si>
  <si>
    <t>% SUGERIDO</t>
  </si>
  <si>
    <t>VALORES</t>
  </si>
  <si>
    <t>Tijolo</t>
  </si>
  <si>
    <t>Papel</t>
  </si>
  <si>
    <t>Híbridos</t>
  </si>
  <si>
    <t>FOF's</t>
  </si>
  <si>
    <t>Desenvolvimento</t>
  </si>
  <si>
    <t>Hotelarias</t>
  </si>
  <si>
    <t>Moderado</t>
  </si>
  <si>
    <t>Agressivo</t>
  </si>
  <si>
    <t>CHAVE</t>
  </si>
  <si>
    <t>TIPO FII</t>
  </si>
  <si>
    <t>%</t>
  </si>
  <si>
    <t>Sugestão de investimento (30%)</t>
  </si>
  <si>
    <t>Dividendo Mensal (Estimado)</t>
  </si>
  <si>
    <t>Simulador Estratégico de FIIs</t>
  </si>
  <si>
    <t>Qtd. Anos</t>
  </si>
  <si>
    <t xml:space="preserve">Taxa de Rendimento </t>
  </si>
  <si>
    <t>Investimento Mensal</t>
  </si>
  <si>
    <t>Acumulado</t>
  </si>
  <si>
    <t>Cenários</t>
  </si>
  <si>
    <t>15 Anos</t>
  </si>
  <si>
    <t>40 Anos</t>
  </si>
  <si>
    <t>50 Anos</t>
  </si>
  <si>
    <t>Perfil do Investidor</t>
  </si>
  <si>
    <t>Total</t>
  </si>
  <si>
    <t>Filtro</t>
  </si>
  <si>
    <t>Tipo de FII</t>
  </si>
  <si>
    <r>
      <t>Na aba</t>
    </r>
    <r>
      <rPr>
        <sz val="11"/>
        <color theme="0"/>
        <rFont val="Aptos Narrow"/>
        <family val="2"/>
        <scheme val="minor"/>
      </rPr>
      <t xml:space="preserve"> "Simulador"</t>
    </r>
    <r>
      <rPr>
        <sz val="11"/>
        <color theme="1"/>
        <rFont val="Aptos Narrow"/>
        <family val="2"/>
        <scheme val="minor"/>
      </rPr>
      <t xml:space="preserve">, </t>
    </r>
    <r>
      <rPr>
        <i/>
        <u/>
        <sz val="11"/>
        <color theme="1"/>
        <rFont val="Aptos Narrow"/>
        <family val="2"/>
        <scheme val="minor"/>
      </rPr>
      <t>preencher apenas</t>
    </r>
    <r>
      <rPr>
        <sz val="11"/>
        <color theme="1"/>
        <rFont val="Aptos Narrow"/>
        <family val="2"/>
        <scheme val="minor"/>
      </rPr>
      <t xml:space="preserve"> as células que estão em "Branco". As células em "Marrom" são células com preenchimento automático.</t>
    </r>
  </si>
  <si>
    <t>Instruções para Preenchimento da Planilha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</si>
</sst>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3" formatCode="_-* #,##0.00_-;\-* #,##0.00_-;_-* &quot;-&quot;??_-;_-@_-"/>
    <numFmt numFmtId="164" formatCode="0.000%"/>
    <numFmt numFmtId="168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4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i/>
      <sz val="14"/>
      <color rgb="FFC4A262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CE1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0" borderId="0" xfId="0" applyNumberFormat="1" applyFill="1" applyBorder="1" applyAlignment="1">
      <alignment horizontal="center"/>
    </xf>
    <xf numFmtId="0" fontId="4" fillId="3" borderId="0" xfId="0" applyFont="1" applyFill="1" applyAlignment="1">
      <alignment horizontal="centerContinuous" vertical="center"/>
    </xf>
    <xf numFmtId="0" fontId="3" fillId="3" borderId="0" xfId="0" applyFont="1" applyFill="1" applyAlignment="1">
      <alignment horizontal="centerContinuous" vertical="center"/>
    </xf>
    <xf numFmtId="43" fontId="3" fillId="3" borderId="0" xfId="1" applyFont="1" applyFill="1" applyAlignment="1">
      <alignment horizontal="centerContinuous" vertical="center"/>
    </xf>
    <xf numFmtId="0" fontId="5" fillId="2" borderId="0" xfId="0" applyFont="1" applyFill="1"/>
    <xf numFmtId="0" fontId="0" fillId="0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43" fontId="0" fillId="5" borderId="0" xfId="1" applyFont="1" applyFill="1"/>
    <xf numFmtId="0" fontId="6" fillId="0" borderId="0" xfId="0" applyFont="1"/>
    <xf numFmtId="0" fontId="6" fillId="5" borderId="0" xfId="0" applyFont="1" applyFill="1"/>
    <xf numFmtId="0" fontId="6" fillId="5" borderId="0" xfId="0" applyFont="1" applyFill="1" applyAlignment="1">
      <alignment horizontal="center"/>
    </xf>
    <xf numFmtId="43" fontId="6" fillId="5" borderId="0" xfId="1" applyFont="1" applyFill="1"/>
    <xf numFmtId="168" fontId="6" fillId="5" borderId="0" xfId="1" applyNumberFormat="1" applyFont="1" applyFill="1" applyAlignment="1">
      <alignment horizontal="center"/>
    </xf>
    <xf numFmtId="9" fontId="6" fillId="5" borderId="0" xfId="1" applyNumberFormat="1" applyFont="1" applyFill="1"/>
    <xf numFmtId="164" fontId="6" fillId="5" borderId="0" xfId="2" applyNumberFormat="1" applyFont="1" applyFill="1" applyAlignment="1">
      <alignment horizontal="center"/>
    </xf>
    <xf numFmtId="0" fontId="9" fillId="3" borderId="0" xfId="0" applyFont="1" applyFill="1" applyAlignment="1">
      <alignment horizontal="centerContinuous" vertical="center"/>
    </xf>
    <xf numFmtId="0" fontId="7" fillId="5" borderId="0" xfId="0" applyFont="1" applyFill="1"/>
    <xf numFmtId="8" fontId="7" fillId="5" borderId="0" xfId="1" applyNumberFormat="1" applyFont="1" applyFill="1" applyAlignment="1">
      <alignment horizontal="center"/>
    </xf>
    <xf numFmtId="8" fontId="7" fillId="5" borderId="0" xfId="0" applyNumberFormat="1" applyFont="1" applyFill="1" applyAlignment="1">
      <alignment horizontal="center"/>
    </xf>
    <xf numFmtId="0" fontId="0" fillId="0" borderId="0" xfId="0" applyFont="1"/>
    <xf numFmtId="0" fontId="0" fillId="0" borderId="0" xfId="0" applyFont="1" applyFill="1"/>
    <xf numFmtId="0" fontId="2" fillId="0" borderId="0" xfId="0" applyFont="1"/>
    <xf numFmtId="0" fontId="2" fillId="0" borderId="0" xfId="0" applyFont="1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9" fontId="0" fillId="0" borderId="6" xfId="0" applyNumberFormat="1" applyBorder="1" applyAlignment="1">
      <alignment horizontal="center"/>
    </xf>
    <xf numFmtId="9" fontId="0" fillId="0" borderId="6" xfId="0" applyNumberFormat="1" applyFill="1" applyBorder="1" applyAlignment="1">
      <alignment horizontal="center"/>
    </xf>
    <xf numFmtId="9" fontId="0" fillId="0" borderId="6" xfId="2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center"/>
    </xf>
    <xf numFmtId="9" fontId="0" fillId="0" borderId="9" xfId="0" applyNumberFormat="1" applyFill="1" applyBorder="1" applyAlignment="1">
      <alignment horizontal="center"/>
    </xf>
    <xf numFmtId="8" fontId="0" fillId="0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/>
    </xf>
    <xf numFmtId="8" fontId="0" fillId="0" borderId="6" xfId="0" applyNumberFormat="1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8" fontId="0" fillId="0" borderId="8" xfId="0" applyNumberFormat="1" applyFont="1" applyFill="1" applyBorder="1" applyAlignment="1">
      <alignment horizontal="center"/>
    </xf>
    <xf numFmtId="8" fontId="0" fillId="0" borderId="9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0" fillId="0" borderId="0" xfId="0" applyFont="1" applyFill="1" applyBorder="1"/>
    <xf numFmtId="0" fontId="0" fillId="0" borderId="10" xfId="0" applyFont="1" applyFill="1" applyBorder="1" applyAlignment="1">
      <alignment horizontal="center"/>
    </xf>
    <xf numFmtId="8" fontId="0" fillId="0" borderId="11" xfId="0" applyNumberFormat="1" applyFont="1" applyFill="1" applyBorder="1" applyAlignment="1">
      <alignment horizontal="center"/>
    </xf>
    <xf numFmtId="8" fontId="0" fillId="0" borderId="12" xfId="0" applyNumberFormat="1" applyFont="1" applyFill="1" applyBorder="1" applyAlignment="1">
      <alignment horizontal="center"/>
    </xf>
    <xf numFmtId="168" fontId="6" fillId="6" borderId="0" xfId="1" applyNumberFormat="1" applyFont="1" applyFill="1" applyAlignment="1" applyProtection="1">
      <alignment horizontal="center"/>
      <protection hidden="1"/>
    </xf>
    <xf numFmtId="0" fontId="2" fillId="0" borderId="4" xfId="0" applyFont="1" applyFill="1" applyBorder="1" applyAlignment="1">
      <alignment horizontal="center"/>
    </xf>
    <xf numFmtId="9" fontId="0" fillId="0" borderId="1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5" xfId="0" applyFont="1" applyFill="1" applyBorder="1"/>
    <xf numFmtId="168" fontId="0" fillId="0" borderId="6" xfId="0" applyNumberFormat="1" applyFont="1" applyFill="1" applyBorder="1"/>
    <xf numFmtId="0" fontId="0" fillId="0" borderId="7" xfId="0" applyFont="1" applyFill="1" applyBorder="1"/>
    <xf numFmtId="9" fontId="0" fillId="0" borderId="8" xfId="0" applyNumberFormat="1" applyFont="1" applyFill="1" applyBorder="1" applyAlignment="1">
      <alignment horizontal="center"/>
    </xf>
    <xf numFmtId="168" fontId="0" fillId="0" borderId="9" xfId="0" applyNumberFormat="1" applyFont="1" applyFill="1" applyBorder="1"/>
    <xf numFmtId="0" fontId="2" fillId="8" borderId="13" xfId="0" applyFont="1" applyFill="1" applyBorder="1"/>
    <xf numFmtId="0" fontId="0" fillId="8" borderId="0" xfId="0" applyFont="1" applyFill="1" applyAlignment="1">
      <alignment horizontal="center"/>
    </xf>
    <xf numFmtId="168" fontId="2" fillId="8" borderId="0" xfId="0" applyNumberFormat="1" applyFont="1" applyFill="1"/>
    <xf numFmtId="0" fontId="10" fillId="5" borderId="0" xfId="0" applyFont="1" applyFill="1" applyAlignment="1">
      <alignment horizontal="center"/>
    </xf>
    <xf numFmtId="0" fontId="11" fillId="4" borderId="0" xfId="0" applyFont="1" applyFill="1" applyAlignment="1">
      <alignment horizontal="centerContinuous" vertical="center"/>
    </xf>
    <xf numFmtId="168" fontId="6" fillId="0" borderId="0" xfId="1" applyNumberFormat="1" applyFont="1" applyFill="1" applyAlignment="1" applyProtection="1">
      <alignment horizontal="center"/>
      <protection locked="0"/>
    </xf>
    <xf numFmtId="168" fontId="6" fillId="5" borderId="0" xfId="1" applyNumberFormat="1" applyFont="1" applyFill="1" applyAlignment="1" applyProtection="1">
      <alignment horizontal="center"/>
      <protection locked="0"/>
    </xf>
    <xf numFmtId="10" fontId="6" fillId="0" borderId="0" xfId="1" applyNumberFormat="1" applyFont="1" applyFill="1" applyAlignment="1" applyProtection="1">
      <alignment horizontal="center"/>
      <protection locked="0"/>
    </xf>
    <xf numFmtId="1" fontId="6" fillId="0" borderId="0" xfId="1" applyNumberFormat="1" applyFont="1" applyFill="1" applyAlignment="1" applyProtection="1">
      <alignment horizontal="center"/>
      <protection locked="0"/>
    </xf>
    <xf numFmtId="10" fontId="6" fillId="0" borderId="0" xfId="2" applyNumberFormat="1" applyFont="1" applyFill="1" applyAlignment="1" applyProtection="1">
      <alignment horizontal="center"/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13" fillId="3" borderId="0" xfId="0" applyFont="1" applyFill="1" applyProtection="1"/>
    <xf numFmtId="0" fontId="8" fillId="3" borderId="0" xfId="0" applyFont="1" applyFill="1" applyProtection="1"/>
    <xf numFmtId="0" fontId="0" fillId="5" borderId="0" xfId="0" applyFill="1" applyProtection="1"/>
    <xf numFmtId="0" fontId="3" fillId="9" borderId="0" xfId="0" applyFont="1" applyFill="1" applyProtection="1"/>
    <xf numFmtId="0" fontId="0" fillId="0" borderId="0" xfId="0" applyFill="1" applyProtection="1"/>
    <xf numFmtId="0" fontId="0" fillId="6" borderId="0" xfId="0" applyFill="1" applyProtection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CE1CC"/>
      <color rgb="FFE0CEAE"/>
      <color rgb="FFC4A262"/>
      <color rgb="FF977539"/>
      <color rgb="FF0041C4"/>
      <color rgb="FFC3A2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  <a:latin typeface="+mn-lt"/>
              </a:rPr>
              <a:t>Patrimônio</a:t>
            </a:r>
            <a:r>
              <a:rPr lang="en-US" sz="1400" b="1" baseline="0">
                <a:solidFill>
                  <a:schemeClr val="tx1"/>
                </a:solidFill>
                <a:latin typeface="+mn-lt"/>
              </a:rPr>
              <a:t> Acumulado</a:t>
            </a:r>
            <a:endParaRPr lang="en-US" sz="1400" b="1">
              <a:solidFill>
                <a:schemeClr val="tx1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DT_Base!$I$2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sq">
              <a:solidFill>
                <a:srgbClr val="C4A262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002060"/>
              </a:solidFill>
              <a:ln w="9525" cap="sq">
                <a:solidFill>
                  <a:srgbClr val="002060"/>
                </a:solidFill>
                <a:round/>
              </a:ln>
              <a:effectLst/>
            </c:spPr>
          </c:marker>
          <c:dLbls>
            <c:dLbl>
              <c:idx val="4"/>
              <c:layout>
                <c:manualLayout>
                  <c:x val="-5.1602878508036888E-2"/>
                  <c:y val="-4.89604274422600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33-417B-B9BE-6E1E052E4158}"/>
                </c:ext>
              </c:extLst>
            </c:dLbl>
            <c:dLbl>
              <c:idx val="5"/>
              <c:layout>
                <c:manualLayout>
                  <c:x val="-6.5181082817245828E-2"/>
                  <c:y val="-3.61798287265593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33-417B-B9BE-6E1E052E4158}"/>
                </c:ext>
              </c:extLst>
            </c:dLbl>
            <c:dLbl>
              <c:idx val="6"/>
              <c:layout>
                <c:manualLayout>
                  <c:x val="-9.0779465137639306E-2"/>
                  <c:y val="-4.47442204052852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33-417B-B9BE-6E1E052E4158}"/>
                </c:ext>
              </c:extLst>
            </c:dLbl>
            <c:numFmt formatCode="_(&quot;R$&quot;* #,##0_);_(&quot;R$&quot;* \(#,##0\);_(&quot;R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DT_Base!$H$3:$H$10</c:f>
              <c:strCache>
                <c:ptCount val="8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15 Anos</c:v>
                </c:pt>
                <c:pt idx="4">
                  <c:v>20 Anos</c:v>
                </c:pt>
                <c:pt idx="5">
                  <c:v>30 Anos</c:v>
                </c:pt>
                <c:pt idx="6">
                  <c:v>40 Anos</c:v>
                </c:pt>
                <c:pt idx="7">
                  <c:v>50 Anos</c:v>
                </c:pt>
              </c:strCache>
            </c:strRef>
          </c:cat>
          <c:val>
            <c:numRef>
              <c:f>DT_Base!$I$3:$I$10</c:f>
              <c:numCache>
                <c:formatCode>"R$"#,##0.00_);[Red]\("R$"#,##0.00\)</c:formatCode>
                <c:ptCount val="8"/>
                <c:pt idx="0">
                  <c:v>54461.727321163184</c:v>
                </c:pt>
                <c:pt idx="1">
                  <c:v>167608.03871851688</c:v>
                </c:pt>
                <c:pt idx="2">
                  <c:v>486915.33250960021</c:v>
                </c:pt>
                <c:pt idx="3">
                  <c:v>1095222.3603092236</c:v>
                </c:pt>
                <c:pt idx="4">
                  <c:v>2254097.9865970467</c:v>
                </c:pt>
                <c:pt idx="5">
                  <c:v>8667809.6206335034</c:v>
                </c:pt>
                <c:pt idx="6">
                  <c:v>31945367.732370738</c:v>
                </c:pt>
                <c:pt idx="7">
                  <c:v>116427605.5632436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3-417B-B9BE-6E1E052E41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4281295"/>
        <c:axId val="1514282255"/>
      </c:lineChart>
      <c:catAx>
        <c:axId val="151428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282255"/>
        <c:crosses val="autoZero"/>
        <c:auto val="1"/>
        <c:lblAlgn val="ctr"/>
        <c:lblOffset val="100"/>
        <c:noMultiLvlLbl val="0"/>
      </c:catAx>
      <c:valAx>
        <c:axId val="15142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dash"/>
              <a:round/>
            </a:ln>
            <a:effectLst/>
          </c:spPr>
        </c:majorGridlines>
        <c:numFmt formatCode="[$R$-416]\ #,##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4281295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2.2222222222222223E-2"/>
                <c:y val="0.38263888888888886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pt-BR">
                      <a:solidFill>
                        <a:schemeClr val="tx1"/>
                      </a:solidFill>
                    </a:rPr>
                    <a:t>Em R$ Mil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>
        <a:alpha val="8000"/>
      </a:srgbClr>
    </a:solidFill>
    <a:ln w="9525" cap="rnd" cmpd="sng" algn="ctr">
      <a:solidFill>
        <a:srgbClr val="002060">
          <a:alpha val="46000"/>
        </a:srgb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</a:rPr>
              <a:t>Distribuição do Investimento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DT_Base!$M$2</c:f>
              <c:strCache>
                <c:ptCount val="1"/>
                <c:pt idx="0">
                  <c:v>% SUGERIDO</c:v>
                </c:pt>
              </c:strCache>
            </c:strRef>
          </c:tx>
          <c:spPr>
            <a:ln w="6350"/>
          </c:spPr>
          <c:dPt>
            <c:idx val="0"/>
            <c:bubble3D val="0"/>
            <c:spPr>
              <a:solidFill>
                <a:srgbClr val="002060"/>
              </a:solidFill>
              <a:ln w="63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86-4F8F-81F5-3E99E94B1333}"/>
              </c:ext>
            </c:extLst>
          </c:dPt>
          <c:dPt>
            <c:idx val="1"/>
            <c:bubble3D val="0"/>
            <c:spPr>
              <a:solidFill>
                <a:srgbClr val="977539"/>
              </a:solidFill>
              <a:ln w="63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86-4F8F-81F5-3E99E94B1333}"/>
              </c:ext>
            </c:extLst>
          </c:dPt>
          <c:dPt>
            <c:idx val="2"/>
            <c:bubble3D val="0"/>
            <c:spPr>
              <a:solidFill>
                <a:srgbClr val="0041C4"/>
              </a:solidFill>
              <a:ln w="63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86-4F8F-81F5-3E99E94B1333}"/>
              </c:ext>
            </c:extLst>
          </c:dPt>
          <c:dPt>
            <c:idx val="3"/>
            <c:bubble3D val="0"/>
            <c:spPr>
              <a:solidFill>
                <a:srgbClr val="C4A262">
                  <a:alpha val="71000"/>
                </a:srgbClr>
              </a:solidFill>
              <a:ln w="63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86-4F8F-81F5-3E99E94B1333}"/>
              </c:ext>
            </c:extLst>
          </c:dPt>
          <c:dPt>
            <c:idx val="4"/>
            <c:bubble3D val="0"/>
            <c:spPr>
              <a:solidFill>
                <a:srgbClr val="0041C4">
                  <a:alpha val="30000"/>
                </a:srgbClr>
              </a:solidFill>
              <a:ln w="63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86-4F8F-81F5-3E99E94B1333}"/>
              </c:ext>
            </c:extLst>
          </c:dPt>
          <c:dPt>
            <c:idx val="5"/>
            <c:bubble3D val="0"/>
            <c:spPr>
              <a:solidFill>
                <a:srgbClr val="977539">
                  <a:alpha val="20000"/>
                </a:srgbClr>
              </a:solidFill>
              <a:ln w="63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86-4F8F-81F5-3E99E94B133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686-4F8F-81F5-3E99E94B13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DT_Base!$L$3:$L$8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DT_Base!$M$3:$M$8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86-4F8F-81F5-3E99E94B1333}"/>
            </c:ext>
          </c:extLst>
        </c:ser>
        <c:ser>
          <c:idx val="1"/>
          <c:order val="1"/>
          <c:tx>
            <c:strRef>
              <c:f>DT_Base!$N$2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686-4F8F-81F5-3E99E94B13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686-4F8F-81F5-3E99E94B13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686-4F8F-81F5-3E99E94B13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686-4F8F-81F5-3E99E94B13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3686-4F8F-81F5-3E99E94B13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3686-4F8F-81F5-3E99E94B13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DT_Base!$L$3:$L$8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DT_Base!$N$3:$N$8</c:f>
              <c:numCache>
                <c:formatCode>"R$"\ #,##0.00</c:formatCode>
                <c:ptCount val="6"/>
                <c:pt idx="0">
                  <c:v>640</c:v>
                </c:pt>
                <c:pt idx="1">
                  <c:v>700</c:v>
                </c:pt>
                <c:pt idx="2">
                  <c:v>160</c:v>
                </c:pt>
                <c:pt idx="3">
                  <c:v>100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686-4F8F-81F5-3E99E94B13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771378016150174"/>
          <c:y val="0.21664924783072614"/>
          <c:w val="0.31239671880656728"/>
          <c:h val="0.645821903551291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769936</xdr:colOff>
      <xdr:row>1</xdr:row>
      <xdr:rowOff>31749</xdr:rowOff>
    </xdr:from>
    <xdr:to>
      <xdr:col>9</xdr:col>
      <xdr:colOff>660400</xdr:colOff>
      <xdr:row>2</xdr:row>
      <xdr:rowOff>143676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E99A0D-1F58-DA4D-5FD9-35A8562CB1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9102" b="66797" l="9961" r="89941">
                      <a14:foregroundMark x1="26758" y1="47266" x2="26758" y2="47266"/>
                      <a14:foregroundMark x1="43457" y1="49316" x2="43457" y2="49316"/>
                      <a14:foregroundMark x1="48340" y1="41211" x2="48340" y2="41211"/>
                      <a14:foregroundMark x1="53613" y1="38379" x2="53613" y2="38379"/>
                      <a14:foregroundMark x1="60156" y1="47559" x2="60156" y2="47559"/>
                      <a14:foregroundMark x1="63281" y1="52051" x2="63281" y2="52051"/>
                      <a14:foregroundMark x1="66797" y1="49121" x2="66797" y2="49121"/>
                      <a14:foregroundMark x1="56543" y1="57520" x2="56543" y2="57520"/>
                      <a14:foregroundMark x1="52637" y1="57617" x2="52637" y2="57617"/>
                      <a14:foregroundMark x1="24023" y1="58203" x2="44727" y2="57324"/>
                      <a14:foregroundMark x1="44727" y1="57324" x2="56250" y2="57617"/>
                      <a14:foregroundMark x1="57324" y1="57520" x2="57324" y2="57520"/>
                      <a14:foregroundMark x1="58594" y1="57520" x2="58594" y2="57520"/>
                      <a14:foregroundMark x1="59570" y1="57520" x2="59570" y2="57520"/>
                      <a14:foregroundMark x1="60547" y1="57520" x2="60547" y2="57520"/>
                      <a14:foregroundMark x1="61426" y1="57324" x2="61426" y2="57324"/>
                      <a14:foregroundMark x1="59668" y1="57520" x2="59668" y2="57520"/>
                      <a14:foregroundMark x1="66406" y1="57422" x2="66406" y2="57422"/>
                      <a14:foregroundMark x1="67285" y1="57813" x2="67285" y2="57813"/>
                      <a14:foregroundMark x1="67578" y1="57910" x2="67578" y2="57910"/>
                      <a14:foregroundMark x1="68262" y1="57910" x2="68262" y2="57910"/>
                      <a14:foregroundMark x1="69043" y1="57617" x2="69043" y2="57617"/>
                      <a14:foregroundMark x1="69629" y1="57715" x2="69629" y2="57715"/>
                      <a14:foregroundMark x1="70703" y1="57715" x2="70703" y2="57715"/>
                      <a14:foregroundMark x1="71191" y1="57715" x2="71191" y2="57715"/>
                      <a14:foregroundMark x1="71680" y1="57910" x2="71680" y2="57910"/>
                      <a14:foregroundMark x1="72363" y1="57910" x2="72363" y2="57910"/>
                      <a14:foregroundMark x1="73340" y1="58008" x2="73340" y2="58008"/>
                      <a14:foregroundMark x1="72754" y1="58203" x2="72754" y2="58203"/>
                      <a14:foregroundMark x1="74023" y1="58203" x2="74023" y2="58203"/>
                      <a14:foregroundMark x1="74414" y1="58203" x2="74414" y2="58203"/>
                      <a14:foregroundMark x1="74902" y1="57813" x2="74902" y2="57813"/>
                      <a14:foregroundMark x1="73926" y1="64063" x2="73926" y2="64063"/>
                      <a14:foregroundMark x1="71484" y1="62207" x2="71484" y2="62207"/>
                      <a14:foregroundMark x1="66602" y1="62402" x2="66602" y2="62402"/>
                      <a14:foregroundMark x1="62500" y1="63574" x2="62500" y2="63574"/>
                      <a14:foregroundMark x1="52734" y1="62402" x2="52734" y2="62402"/>
                      <a14:foregroundMark x1="46875" y1="62305" x2="46875" y2="62305"/>
                      <a14:foregroundMark x1="44043" y1="62891" x2="44043" y2="62891"/>
                      <a14:foregroundMark x1="40332" y1="62598" x2="40332" y2="62598"/>
                      <a14:foregroundMark x1="38574" y1="62207" x2="38574" y2="62207"/>
                      <a14:foregroundMark x1="24414" y1="63184" x2="24414" y2="63184"/>
                      <a14:foregroundMark x1="68066" y1="29102" x2="68066" y2="29102"/>
                      <a14:foregroundMark x1="49219" y1="41113" x2="49219" y2="41113"/>
                      <a14:foregroundMark x1="47363" y1="42188" x2="47363" y2="42188"/>
                      <a14:foregroundMark x1="48633" y1="45020" x2="48633" y2="45020"/>
                      <a14:foregroundMark x1="45410" y1="45313" x2="45410" y2="45313"/>
                      <a14:foregroundMark x1="44824" y1="45020" x2="44824" y2="45020"/>
                      <a14:foregroundMark x1="66797" y1="57715" x2="66797" y2="57715"/>
                      <a14:foregroundMark x1="61914" y1="57520" x2="61914" y2="57520"/>
                      <a14:foregroundMark x1="66016" y1="57617" x2="66016" y2="57617"/>
                      <a14:foregroundMark x1="27734" y1="62402" x2="27734" y2="62402"/>
                      <a14:foregroundMark x1="24219" y1="62598" x2="24219" y2="62598"/>
                      <a14:foregroundMark x1="24316" y1="63672" x2="24316" y2="63672"/>
                      <a14:foregroundMark x1="38086" y1="62402" x2="38086" y2="62402"/>
                      <a14:foregroundMark x1="30762" y1="62891" x2="30762" y2="62891"/>
                      <a14:foregroundMark x1="29785" y1="64355" x2="29785" y2="64355"/>
                      <a14:foregroundMark x1="29980" y1="64453" x2="29980" y2="64453"/>
                      <a14:foregroundMark x1="30273" y1="63867" x2="30273" y2="63867"/>
                      <a14:foregroundMark x1="30664" y1="62891" x2="30664" y2="62891"/>
                      <a14:foregroundMark x1="31055" y1="62402" x2="31055" y2="62402"/>
                      <a14:foregroundMark x1="31055" y1="62402" x2="30566" y2="63086"/>
                      <a14:foregroundMark x1="28872" y1="62751" x2="29297" y2="63965"/>
                      <a14:foregroundMark x1="28613" y1="62012" x2="28776" y2="62477"/>
                      <a14:foregroundMark x1="32813" y1="62207" x2="32813" y2="62207"/>
                      <a14:foregroundMark x1="32227" y1="62207" x2="32227" y2="62207"/>
                      <a14:foregroundMark x1="33301" y1="63477" x2="33301" y2="63477"/>
                      <a14:foregroundMark x1="33105" y1="64648" x2="33105" y2="64648"/>
                      <a14:foregroundMark x1="32031" y1="62109" x2="32031" y2="62402"/>
                      <a14:foregroundMark x1="40234" y1="63477" x2="40234" y2="63477"/>
                      <a14:foregroundMark x1="50391" y1="64355" x2="50391" y2="64355"/>
                      <a14:foregroundMark x1="50488" y1="64453" x2="50488" y2="64453"/>
                      <a14:foregroundMark x1="50391" y1="63867" x2="50391" y2="63867"/>
                      <a14:foregroundMark x1="54688" y1="64355" x2="54688" y2="64355"/>
                      <a14:foregroundMark x1="55859" y1="62402" x2="56250" y2="62695"/>
                      <a14:foregroundMark x1="56348" y1="63281" x2="56348" y2="63281"/>
                      <a14:foregroundMark x1="56641" y1="63379" x2="56641" y2="63379"/>
                      <a14:foregroundMark x1="57910" y1="63184" x2="57910" y2="63184"/>
                      <a14:foregroundMark x1="58008" y1="62402" x2="58008" y2="62402"/>
                      <a14:foregroundMark x1="59375" y1="64258" x2="59375" y2="64258"/>
                      <a14:foregroundMark x1="68750" y1="63574" x2="68750" y2="63574"/>
                      <a14:foregroundMark x1="68750" y1="62305" x2="68848" y2="64551"/>
                      <a14:foregroundMark x1="70313" y1="62402" x2="70215" y2="64941"/>
                      <a14:foregroundMark x1="59020" y1="63583" x2="59375" y2="63672"/>
                      <a14:foregroundMark x1="50488" y1="64063" x2="50391" y2="64746"/>
                      <a14:foregroundMark x1="56445" y1="62793" x2="56738" y2="63281"/>
                      <a14:foregroundMark x1="36035" y1="62207" x2="36035" y2="62207"/>
                      <a14:foregroundMark x1="32520" y1="63574" x2="33496" y2="63477"/>
                      <a14:backgroundMark x1="41016" y1="48926" x2="41016" y2="48926"/>
                      <a14:backgroundMark x1="33203" y1="52051" x2="33203" y2="52051"/>
                      <a14:backgroundMark x1="45508" y1="51953" x2="45508" y2="51953"/>
                      <a14:backgroundMark x1="46582" y1="52051" x2="46582" y2="52051"/>
                      <a14:backgroundMark x1="58008" y1="52344" x2="58008" y2="52344"/>
                      <a14:backgroundMark x1="69238" y1="52734" x2="69238" y2="52734"/>
                      <a14:backgroundMark x1="70020" y1="51660" x2="70020" y2="51660"/>
                      <a14:backgroundMark x1="61816" y1="52051" x2="61816" y2="52051"/>
                      <a14:backgroundMark x1="64258" y1="57520" x2="64258" y2="57520"/>
                      <a14:backgroundMark x1="48926" y1="44141" x2="48926" y2="44141"/>
                      <a14:backgroundMark x1="46289" y1="41406" x2="46289" y2="41406"/>
                      <a14:backgroundMark x1="46777" y1="41504" x2="46777" y2="41504"/>
                      <a14:backgroundMark x1="47363" y1="40527" x2="47363" y2="40527"/>
                      <a14:backgroundMark x1="47363" y1="42773" x2="47363" y2="42773"/>
                      <a14:backgroundMark x1="47656" y1="42871" x2="47656" y2="42871"/>
                      <a14:backgroundMark x1="47949" y1="40723" x2="47949" y2="40723"/>
                      <a14:backgroundMark x1="48047" y1="41895" x2="48047" y2="41895"/>
                      <a14:backgroundMark x1="48340" y1="41992" x2="48340" y2="41992"/>
                      <a14:backgroundMark x1="62305" y1="63965" x2="62305" y2="63965"/>
                      <a14:backgroundMark x1="62598" y1="62598" x2="62598" y2="62598"/>
                      <a14:backgroundMark x1="34180" y1="62988" x2="34180" y2="62988"/>
                      <a14:backgroundMark x1="35742" y1="62988" x2="35742" y2="62988"/>
                      <a14:backgroundMark x1="35547" y1="62793" x2="36133" y2="62988"/>
                      <a14:backgroundMark x1="55371" y1="63574" x2="55371" y2="63574"/>
                      <a14:backgroundMark x1="58398" y1="63965" x2="58398" y2="63965"/>
                      <a14:backgroundMark x1="57715" y1="63965" x2="58594" y2="64160"/>
                      <a14:backgroundMark x1="49805" y1="62891" x2="50000" y2="63477"/>
                      <a14:backgroundMark x1="73047" y1="63379" x2="73730" y2="63379"/>
                      <a14:backgroundMark x1="70215" y1="65137" x2="70508" y2="65137"/>
                      <a14:backgroundMark x1="49902" y1="62402" x2="49902" y2="62695"/>
                      <a14:backgroundMark x1="28125" y1="62988" x2="28320" y2="63184"/>
                    </a14:backgroundRemoval>
                  </a14:imgEffect>
                </a14:imgLayer>
              </a14:imgProps>
            </a:ext>
          </a:extLst>
        </a:blip>
        <a:srcRect l="17795" t="36274" r="22265" b="34401"/>
        <a:stretch>
          <a:fillRect/>
        </a:stretch>
      </xdr:blipFill>
      <xdr:spPr>
        <a:xfrm>
          <a:off x="9101136" y="196849"/>
          <a:ext cx="1522414" cy="778677"/>
        </a:xfrm>
        <a:prstGeom prst="rect">
          <a:avLst/>
        </a:prstGeom>
      </xdr:spPr>
    </xdr:pic>
    <xdr:clientData/>
  </xdr:twoCellAnchor>
  <xdr:twoCellAnchor>
    <xdr:from>
      <xdr:col>0</xdr:col>
      <xdr:colOff>222250</xdr:colOff>
      <xdr:row>15</xdr:row>
      <xdr:rowOff>196850</xdr:rowOff>
    </xdr:from>
    <xdr:to>
      <xdr:col>3</xdr:col>
      <xdr:colOff>31750</xdr:colOff>
      <xdr:row>18</xdr:row>
      <xdr:rowOff>63500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0DCC1F7-4272-B4EC-0212-8C94EF08ED9D}"/>
            </a:ext>
          </a:extLst>
        </xdr:cNvPr>
        <xdr:cNvSpPr/>
      </xdr:nvSpPr>
      <xdr:spPr>
        <a:xfrm>
          <a:off x="222250" y="3632200"/>
          <a:ext cx="3638550" cy="571500"/>
        </a:xfrm>
        <a:prstGeom prst="roundRect">
          <a:avLst>
            <a:gd name="adj" fmla="val 18262"/>
          </a:avLst>
        </a:prstGeom>
        <a:solidFill>
          <a:srgbClr val="C4A262">
            <a:alpha val="50000"/>
          </a:srgbClr>
        </a:solidFill>
        <a:ln>
          <a:solidFill>
            <a:srgbClr val="C4A26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343647</xdr:colOff>
      <xdr:row>3</xdr:row>
      <xdr:rowOff>6350</xdr:rowOff>
    </xdr:from>
    <xdr:to>
      <xdr:col>10</xdr:col>
      <xdr:colOff>134471</xdr:colOff>
      <xdr:row>18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4CB4827-6A88-49FB-977A-7FE3C512A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704</xdr:colOff>
      <xdr:row>19</xdr:row>
      <xdr:rowOff>7056</xdr:rowOff>
    </xdr:from>
    <xdr:to>
      <xdr:col>7</xdr:col>
      <xdr:colOff>430388</xdr:colOff>
      <xdr:row>31</xdr:row>
      <xdr:rowOff>132643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DAB499C-AA76-45C2-8925-01E780BBB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1170783</xdr:colOff>
      <xdr:row>22</xdr:row>
      <xdr:rowOff>112059</xdr:rowOff>
    </xdr:from>
    <xdr:to>
      <xdr:col>3</xdr:col>
      <xdr:colOff>97220</xdr:colOff>
      <xdr:row>22</xdr:row>
      <xdr:rowOff>112059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37CFFF29-3770-B828-6E1C-405514AFF760}"/>
            </a:ext>
          </a:extLst>
        </xdr:cNvPr>
        <xdr:cNvCxnSpPr/>
      </xdr:nvCxnSpPr>
      <xdr:spPr>
        <a:xfrm flipH="1" flipV="1">
          <a:off x="3817939" y="4894403"/>
          <a:ext cx="25200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88899</xdr:colOff>
      <xdr:row>10</xdr:row>
      <xdr:rowOff>118099</xdr:rowOff>
    </xdr:from>
    <xdr:to>
      <xdr:col>3</xdr:col>
      <xdr:colOff>101972</xdr:colOff>
      <xdr:row>22</xdr:row>
      <xdr:rowOff>121602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BC1D649-A403-85BF-D7C5-32F1037BE0F8}"/>
            </a:ext>
          </a:extLst>
        </xdr:cNvPr>
        <xdr:cNvCxnSpPr/>
      </xdr:nvCxnSpPr>
      <xdr:spPr>
        <a:xfrm flipH="1">
          <a:off x="4063999" y="2632699"/>
          <a:ext cx="13073" cy="2289503"/>
        </a:xfrm>
        <a:prstGeom prst="line">
          <a:avLst/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1187450</xdr:colOff>
      <xdr:row>10</xdr:row>
      <xdr:rowOff>127000</xdr:rowOff>
    </xdr:from>
    <xdr:to>
      <xdr:col>3</xdr:col>
      <xdr:colOff>76300</xdr:colOff>
      <xdr:row>10</xdr:row>
      <xdr:rowOff>127000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AD868B1-CD74-3A44-9699-4F0D82DF813E}"/>
            </a:ext>
          </a:extLst>
        </xdr:cNvPr>
        <xdr:cNvCxnSpPr/>
      </xdr:nvCxnSpPr>
      <xdr:spPr>
        <a:xfrm>
          <a:off x="3835400" y="2641600"/>
          <a:ext cx="216000" cy="0"/>
        </a:xfrm>
        <a:prstGeom prst="line">
          <a:avLst/>
        </a:prstGeom>
        <a:ln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704643</xdr:colOff>
      <xdr:row>23</xdr:row>
      <xdr:rowOff>48295</xdr:rowOff>
    </xdr:from>
    <xdr:to>
      <xdr:col>2</xdr:col>
      <xdr:colOff>704643</xdr:colOff>
      <xdr:row>24</xdr:row>
      <xdr:rowOff>209345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E7DF2C5D-A01F-4066-9541-B4F62EA1C995}"/>
            </a:ext>
          </a:extLst>
        </xdr:cNvPr>
        <xdr:cNvCxnSpPr/>
      </xdr:nvCxnSpPr>
      <xdr:spPr>
        <a:xfrm rot="16200000" flipH="1" flipV="1">
          <a:off x="3154593" y="5281845"/>
          <a:ext cx="39600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3A98-9C75-46D1-830B-9EE3474EBC4E}">
  <sheetPr>
    <tabColor theme="2" tint="-9.9978637043366805E-2"/>
  </sheetPr>
  <dimension ref="B1:Q4"/>
  <sheetViews>
    <sheetView tabSelected="1" workbookViewId="0">
      <selection activeCell="G9" sqref="G9"/>
    </sheetView>
  </sheetViews>
  <sheetFormatPr defaultColWidth="0" defaultRowHeight="14.5" x14ac:dyDescent="0.35"/>
  <cols>
    <col min="1" max="1" width="1.7265625" style="74" customWidth="1"/>
    <col min="2" max="2" width="6.08984375" style="74" customWidth="1"/>
    <col min="3" max="3" width="10.08984375" style="74" customWidth="1"/>
    <col min="4" max="6" width="8.7265625" style="74" customWidth="1"/>
    <col min="7" max="7" width="8.90625" style="74" customWidth="1"/>
    <col min="8" max="8" width="7.26953125" style="74" customWidth="1"/>
    <col min="9" max="9" width="12.1796875" style="74" customWidth="1"/>
    <col min="10" max="10" width="8" style="74" customWidth="1"/>
    <col min="11" max="17" width="8.7265625" style="74" customWidth="1"/>
    <col min="18" max="16384" width="8.7265625" style="74" hidden="1"/>
  </cols>
  <sheetData>
    <row r="1" spans="2:17" ht="26" x14ac:dyDescent="0.6">
      <c r="B1" s="72" t="s">
        <v>41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4" spans="2:17" x14ac:dyDescent="0.35">
      <c r="B4" s="74" t="s">
        <v>40</v>
      </c>
      <c r="C4" s="75"/>
      <c r="H4" s="76"/>
      <c r="J4" s="77"/>
    </row>
  </sheetData>
  <sheetProtection algorithmName="SHA-512" hashValue="DTo/adNJn1ZQilMj9b5fejrumTzoGOwFVD7ZqsHeXM0Zq8f/crxOYEfaRPTz9ZosEp9uQwRDvYpBzExq5XlWqw==" saltValue="Cq1Tyc2/L0KYR3W3Cog5F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8705-16EA-4B11-84AD-445DDA217264}">
  <sheetPr>
    <tabColor rgb="FF002060"/>
  </sheetPr>
  <dimension ref="A1:XFD33"/>
  <sheetViews>
    <sheetView showGridLines="0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28" sqref="D28"/>
    </sheetView>
  </sheetViews>
  <sheetFormatPr defaultColWidth="0" defaultRowHeight="14.5" zeroHeight="1" x14ac:dyDescent="0.35"/>
  <cols>
    <col min="1" max="1" width="2.7265625" customWidth="1"/>
    <col min="2" max="2" width="35.1796875" bestFit="1" customWidth="1"/>
    <col min="3" max="3" width="19" bestFit="1" customWidth="1"/>
    <col min="4" max="4" width="13.81640625" customWidth="1"/>
    <col min="5" max="5" width="20" customWidth="1"/>
    <col min="6" max="6" width="14.81640625" bestFit="1" customWidth="1"/>
    <col min="7" max="7" width="13.7265625" bestFit="1" customWidth="1"/>
    <col min="8" max="8" width="11.1796875" bestFit="1" customWidth="1"/>
    <col min="9" max="10" width="12.1796875" customWidth="1"/>
    <col min="11" max="11" width="5" customWidth="1"/>
    <col min="12" max="12" width="12.1796875" hidden="1" customWidth="1"/>
    <col min="13" max="16384" width="8.7265625" hidden="1"/>
  </cols>
  <sheetData>
    <row r="1" spans="1:11" ht="13" customHeight="1" x14ac:dyDescent="0.35">
      <c r="A1" s="7"/>
      <c r="B1" s="7"/>
      <c r="C1" s="8"/>
      <c r="D1" s="7"/>
      <c r="E1" s="9"/>
      <c r="F1" s="7"/>
      <c r="G1" s="7"/>
      <c r="H1" s="9"/>
      <c r="I1" s="7"/>
      <c r="J1" s="7"/>
      <c r="K1" s="7"/>
    </row>
    <row r="2" spans="1:11" ht="52.5" x14ac:dyDescent="0.35">
      <c r="A2" s="2" t="s">
        <v>27</v>
      </c>
      <c r="B2" s="2"/>
      <c r="C2" s="3"/>
      <c r="D2" s="3"/>
      <c r="E2" s="4"/>
      <c r="F2" s="3"/>
      <c r="G2" s="3"/>
      <c r="H2" s="4"/>
      <c r="I2" s="3"/>
      <c r="J2" s="3"/>
      <c r="K2" s="3"/>
    </row>
    <row r="3" spans="1:11" s="10" customFormat="1" ht="18.5" x14ac:dyDescent="0.45">
      <c r="A3" s="11"/>
      <c r="B3" s="11"/>
      <c r="C3" s="12"/>
      <c r="D3" s="11"/>
      <c r="E3" s="11"/>
      <c r="F3" s="11"/>
      <c r="G3" s="11"/>
      <c r="H3" s="13"/>
      <c r="I3" s="11"/>
      <c r="J3" s="11"/>
      <c r="K3" s="11"/>
    </row>
    <row r="4" spans="1:11" s="10" customFormat="1" ht="18.5" x14ac:dyDescent="0.45">
      <c r="A4" s="11"/>
      <c r="B4" s="5" t="s">
        <v>8</v>
      </c>
      <c r="C4" s="66">
        <v>9500</v>
      </c>
      <c r="D4" s="11"/>
      <c r="E4" s="13"/>
      <c r="F4" s="11"/>
      <c r="G4" s="11"/>
      <c r="H4" s="13"/>
      <c r="I4" s="11"/>
      <c r="J4" s="11"/>
      <c r="K4" s="11"/>
    </row>
    <row r="5" spans="1:11" s="10" customFormat="1" ht="4.5" customHeight="1" x14ac:dyDescent="0.45">
      <c r="A5" s="11"/>
      <c r="B5" s="11"/>
      <c r="C5" s="67"/>
      <c r="D5" s="11"/>
      <c r="E5" s="13"/>
      <c r="F5" s="11"/>
      <c r="G5" s="11"/>
      <c r="H5" s="13"/>
      <c r="I5" s="11"/>
      <c r="J5" s="11"/>
      <c r="K5" s="11"/>
    </row>
    <row r="6" spans="1:11" s="10" customFormat="1" ht="18.5" x14ac:dyDescent="0.45">
      <c r="A6" s="11"/>
      <c r="B6" s="5" t="s">
        <v>7</v>
      </c>
      <c r="C6" s="68">
        <v>8.0000000000000002E-3</v>
      </c>
      <c r="D6" s="11"/>
      <c r="E6" s="13"/>
      <c r="F6" s="11"/>
      <c r="G6" s="11"/>
      <c r="H6" s="13"/>
      <c r="I6" s="11"/>
      <c r="J6" s="11"/>
      <c r="K6" s="11"/>
    </row>
    <row r="7" spans="1:11" s="10" customFormat="1" ht="4.5" customHeight="1" x14ac:dyDescent="0.45">
      <c r="A7" s="11"/>
      <c r="B7" s="11"/>
      <c r="C7" s="14"/>
      <c r="D7" s="11"/>
      <c r="E7" s="13"/>
      <c r="F7" s="11"/>
      <c r="G7" s="11"/>
      <c r="H7" s="13"/>
      <c r="I7" s="11"/>
      <c r="J7" s="11"/>
      <c r="K7" s="11"/>
    </row>
    <row r="8" spans="1:11" s="10" customFormat="1" ht="18.5" x14ac:dyDescent="0.45">
      <c r="A8" s="11"/>
      <c r="B8" s="5" t="s">
        <v>25</v>
      </c>
      <c r="C8" s="51">
        <f>Salario*30%</f>
        <v>2850</v>
      </c>
      <c r="D8" s="11"/>
      <c r="E8" s="13"/>
      <c r="F8" s="11"/>
      <c r="G8" s="11"/>
      <c r="H8" s="13"/>
      <c r="I8" s="11"/>
      <c r="J8" s="11"/>
      <c r="K8" s="11"/>
    </row>
    <row r="9" spans="1:11" s="10" customFormat="1" ht="26" customHeight="1" x14ac:dyDescent="0.45">
      <c r="A9" s="11"/>
      <c r="B9" s="11"/>
      <c r="C9" s="12"/>
      <c r="D9" s="11"/>
      <c r="E9" s="13"/>
      <c r="F9" s="11"/>
      <c r="G9" s="11"/>
      <c r="H9" s="13"/>
      <c r="I9" s="11"/>
      <c r="J9" s="11"/>
      <c r="K9" s="11"/>
    </row>
    <row r="10" spans="1:11" s="10" customFormat="1" ht="23.5" x14ac:dyDescent="0.45">
      <c r="A10" s="11"/>
      <c r="B10" s="17" t="s">
        <v>30</v>
      </c>
      <c r="C10" s="17"/>
      <c r="D10" s="11"/>
      <c r="E10" s="13"/>
      <c r="F10" s="11"/>
      <c r="G10" s="11"/>
      <c r="H10" s="13"/>
      <c r="I10" s="11"/>
      <c r="J10" s="11"/>
      <c r="K10" s="11"/>
    </row>
    <row r="11" spans="1:11" s="10" customFormat="1" ht="18.5" x14ac:dyDescent="0.45">
      <c r="A11" s="11"/>
      <c r="B11" s="5" t="s">
        <v>30</v>
      </c>
      <c r="C11" s="66">
        <v>2000</v>
      </c>
      <c r="D11" s="11"/>
      <c r="E11" s="13"/>
      <c r="F11" s="11"/>
      <c r="G11" s="11"/>
      <c r="H11" s="13"/>
      <c r="I11" s="11"/>
      <c r="J11" s="11"/>
      <c r="K11" s="11"/>
    </row>
    <row r="12" spans="1:11" s="10" customFormat="1" ht="4.5" customHeight="1" x14ac:dyDescent="0.45">
      <c r="A12" s="11"/>
      <c r="B12" s="11"/>
      <c r="C12" s="67"/>
      <c r="D12" s="11"/>
      <c r="E12" s="13"/>
      <c r="F12" s="11"/>
      <c r="G12" s="11"/>
      <c r="H12" s="13"/>
      <c r="I12" s="11"/>
      <c r="J12" s="11"/>
      <c r="K12" s="11"/>
    </row>
    <row r="13" spans="1:11" s="10" customFormat="1" ht="18.5" x14ac:dyDescent="0.45">
      <c r="A13" s="11"/>
      <c r="B13" s="5" t="s">
        <v>28</v>
      </c>
      <c r="C13" s="69">
        <v>10</v>
      </c>
      <c r="D13" s="11"/>
      <c r="E13" s="15"/>
      <c r="F13" s="11"/>
      <c r="G13" s="11"/>
      <c r="H13" s="13"/>
      <c r="I13" s="11"/>
      <c r="J13" s="11"/>
      <c r="K13" s="11"/>
    </row>
    <row r="14" spans="1:11" s="10" customFormat="1" ht="4.5" customHeight="1" x14ac:dyDescent="0.45">
      <c r="A14" s="11"/>
      <c r="B14" s="11"/>
      <c r="C14" s="67"/>
      <c r="D14" s="11"/>
      <c r="E14" s="13"/>
      <c r="F14" s="11"/>
      <c r="G14" s="11"/>
      <c r="H14" s="13"/>
      <c r="I14" s="11"/>
      <c r="J14" s="11"/>
      <c r="K14" s="11"/>
    </row>
    <row r="15" spans="1:11" s="10" customFormat="1" ht="18.5" x14ac:dyDescent="0.45">
      <c r="A15" s="11"/>
      <c r="B15" s="5" t="s">
        <v>29</v>
      </c>
      <c r="C15" s="70">
        <v>1.0800000000000001E-2</v>
      </c>
      <c r="D15" s="11"/>
      <c r="E15" s="13"/>
      <c r="F15" s="11"/>
      <c r="G15" s="11"/>
      <c r="H15" s="13"/>
      <c r="I15" s="11"/>
      <c r="J15" s="11"/>
      <c r="K15" s="11"/>
    </row>
    <row r="16" spans="1:11" s="10" customFormat="1" ht="18.5" x14ac:dyDescent="0.45">
      <c r="A16" s="11"/>
      <c r="B16" s="11"/>
      <c r="C16" s="16"/>
      <c r="D16" s="11"/>
      <c r="E16" s="13"/>
      <c r="F16" s="11"/>
      <c r="G16" s="11"/>
      <c r="H16" s="13"/>
      <c r="I16" s="11"/>
      <c r="J16" s="11"/>
      <c r="K16" s="11"/>
    </row>
    <row r="17" spans="1:11" s="10" customFormat="1" ht="18.5" x14ac:dyDescent="0.45">
      <c r="A17" s="11"/>
      <c r="B17" s="18" t="s">
        <v>0</v>
      </c>
      <c r="C17" s="19">
        <f>-FV(Taxa_Rendimento,Anos_Investidos*12,Investimento_Mensal)</f>
        <v>486915.33250960021</v>
      </c>
      <c r="D17" s="11"/>
      <c r="E17" s="13"/>
      <c r="F17" s="11"/>
      <c r="G17" s="11"/>
      <c r="H17" s="13"/>
      <c r="I17" s="11"/>
      <c r="J17" s="11"/>
      <c r="K17" s="11"/>
    </row>
    <row r="18" spans="1:11" s="10" customFormat="1" ht="18.5" x14ac:dyDescent="0.45">
      <c r="A18" s="11"/>
      <c r="B18" s="18" t="s">
        <v>26</v>
      </c>
      <c r="C18" s="20">
        <f>Patrimonio_Acumulado*Rendimento_Carteira</f>
        <v>3895.3226600768016</v>
      </c>
      <c r="D18" s="11"/>
      <c r="E18" s="13"/>
      <c r="F18" s="11"/>
      <c r="G18" s="11"/>
      <c r="H18" s="13"/>
      <c r="I18" s="11"/>
      <c r="J18" s="11"/>
      <c r="K18" s="11"/>
    </row>
    <row r="19" spans="1:11" s="10" customFormat="1" ht="18.5" x14ac:dyDescent="0.45">
      <c r="A19" s="11"/>
      <c r="B19" s="11"/>
      <c r="C19" s="12"/>
      <c r="D19" s="11"/>
      <c r="E19" s="13"/>
      <c r="F19" s="11"/>
      <c r="G19" s="11"/>
      <c r="H19" s="13"/>
      <c r="I19" s="11"/>
      <c r="J19" s="11"/>
      <c r="K19" s="11"/>
    </row>
    <row r="20" spans="1:11" s="10" customFormat="1" ht="18.5" x14ac:dyDescent="0.45">
      <c r="A20" s="11"/>
      <c r="B20" s="11"/>
      <c r="C20" s="64" t="s">
        <v>38</v>
      </c>
      <c r="D20" s="11"/>
      <c r="E20" s="13"/>
      <c r="F20" s="11"/>
      <c r="G20" s="11"/>
      <c r="H20" s="13"/>
      <c r="I20" s="11"/>
      <c r="J20" s="11"/>
      <c r="K20" s="11"/>
    </row>
    <row r="21" spans="1:11" s="10" customFormat="1" ht="18.5" x14ac:dyDescent="0.45">
      <c r="A21" s="11"/>
      <c r="B21" s="5" t="s">
        <v>36</v>
      </c>
      <c r="C21" s="71" t="s">
        <v>20</v>
      </c>
      <c r="D21" s="11"/>
      <c r="E21" s="13"/>
      <c r="F21" s="13"/>
      <c r="G21" s="13"/>
      <c r="H21" s="13"/>
      <c r="I21" s="11"/>
      <c r="J21" s="11"/>
      <c r="K21" s="11"/>
    </row>
    <row r="22" spans="1:11" s="10" customFormat="1" ht="4.5" customHeight="1" x14ac:dyDescent="0.45">
      <c r="A22" s="11"/>
      <c r="B22" s="11"/>
      <c r="C22" s="14"/>
      <c r="D22" s="11"/>
      <c r="E22" s="13"/>
      <c r="F22" s="11"/>
      <c r="G22" s="11"/>
      <c r="H22" s="13"/>
      <c r="I22" s="11"/>
      <c r="J22" s="11"/>
      <c r="K22" s="11"/>
    </row>
    <row r="23" spans="1:11" s="10" customFormat="1" ht="18.5" x14ac:dyDescent="0.45">
      <c r="A23" s="11"/>
      <c r="B23" s="5" t="s">
        <v>30</v>
      </c>
      <c r="C23" s="51">
        <f>Investimento_Mensal</f>
        <v>2000</v>
      </c>
      <c r="D23" s="11"/>
      <c r="E23" s="13"/>
      <c r="F23" s="13"/>
      <c r="G23" s="13"/>
      <c r="H23" s="13"/>
      <c r="I23" s="11"/>
      <c r="J23" s="11"/>
      <c r="K23" s="11"/>
    </row>
    <row r="24" spans="1:11" s="10" customFormat="1" ht="18.5" x14ac:dyDescent="0.45">
      <c r="A24" s="11"/>
      <c r="B24" s="11"/>
      <c r="C24" s="12"/>
      <c r="D24" s="11"/>
      <c r="E24" s="13"/>
      <c r="F24" s="13"/>
      <c r="G24" s="13"/>
      <c r="H24" s="13"/>
      <c r="I24" s="11"/>
      <c r="J24" s="11"/>
      <c r="K24" s="11"/>
    </row>
    <row r="25" spans="1:11" s="10" customFormat="1" ht="19.5" x14ac:dyDescent="0.45">
      <c r="A25" s="13"/>
      <c r="B25" s="65" t="s">
        <v>39</v>
      </c>
      <c r="C25" s="65"/>
      <c r="D25" s="13"/>
      <c r="E25" s="13"/>
      <c r="F25" s="13"/>
      <c r="G25" s="13"/>
      <c r="H25" s="13"/>
      <c r="I25" s="11"/>
      <c r="J25" s="11"/>
      <c r="K25" s="11"/>
    </row>
    <row r="26" spans="1:11" s="10" customFormat="1" ht="18.5" x14ac:dyDescent="0.45">
      <c r="A26" s="13"/>
      <c r="B26" s="5" t="str">
        <f>DT_Base!L3</f>
        <v>Papel</v>
      </c>
      <c r="C26" s="51">
        <f>DT_Base!$N$3</f>
        <v>640</v>
      </c>
      <c r="D26" s="13"/>
      <c r="E26" s="13"/>
      <c r="F26" s="13"/>
      <c r="G26" s="13"/>
      <c r="H26" s="13"/>
      <c r="I26" s="11"/>
      <c r="J26" s="11"/>
      <c r="K26" s="11"/>
    </row>
    <row r="27" spans="1:11" s="10" customFormat="1" ht="18.5" x14ac:dyDescent="0.45">
      <c r="A27" s="13"/>
      <c r="B27" s="5" t="str">
        <f>DT_Base!L4</f>
        <v>Tijolo</v>
      </c>
      <c r="C27" s="51">
        <f>DT_Base!$N$4</f>
        <v>700</v>
      </c>
      <c r="D27" s="13"/>
      <c r="E27" s="13"/>
      <c r="F27" s="13"/>
      <c r="G27" s="13"/>
      <c r="H27" s="13"/>
      <c r="I27" s="11"/>
      <c r="J27" s="11"/>
      <c r="K27" s="11"/>
    </row>
    <row r="28" spans="1:11" s="10" customFormat="1" ht="18.5" x14ac:dyDescent="0.45">
      <c r="A28" s="13"/>
      <c r="B28" s="5" t="str">
        <f>DT_Base!L5</f>
        <v>Híbridos</v>
      </c>
      <c r="C28" s="51">
        <f>DT_Base!$N$5</f>
        <v>160</v>
      </c>
      <c r="D28" s="13"/>
      <c r="E28" s="13"/>
      <c r="F28" s="13"/>
      <c r="G28" s="13"/>
      <c r="H28" s="13"/>
      <c r="I28" s="11"/>
      <c r="J28" s="11"/>
      <c r="K28" s="11"/>
    </row>
    <row r="29" spans="1:11" s="10" customFormat="1" ht="18.5" x14ac:dyDescent="0.45">
      <c r="A29" s="13"/>
      <c r="B29" s="5" t="str">
        <f>DT_Base!L6</f>
        <v>FOF's</v>
      </c>
      <c r="C29" s="51">
        <f>DT_Base!$N$6</f>
        <v>100</v>
      </c>
      <c r="D29" s="13"/>
      <c r="E29" s="13"/>
      <c r="F29" s="13"/>
      <c r="G29" s="13"/>
      <c r="H29" s="13"/>
      <c r="I29" s="11"/>
      <c r="J29" s="11"/>
      <c r="K29" s="11"/>
    </row>
    <row r="30" spans="1:11" s="10" customFormat="1" ht="18.5" x14ac:dyDescent="0.45">
      <c r="A30" s="13"/>
      <c r="B30" s="5" t="str">
        <f>DT_Base!L7</f>
        <v>Desenvolvimento</v>
      </c>
      <c r="C30" s="51">
        <f>DT_Base!$N$7</f>
        <v>200</v>
      </c>
      <c r="D30" s="13"/>
      <c r="E30" s="13"/>
      <c r="F30" s="13"/>
      <c r="G30" s="13"/>
      <c r="H30" s="13"/>
      <c r="I30" s="11"/>
      <c r="J30" s="11"/>
      <c r="K30" s="11"/>
    </row>
    <row r="31" spans="1:11" s="10" customFormat="1" ht="18.5" x14ac:dyDescent="0.45">
      <c r="A31" s="13"/>
      <c r="B31" s="5" t="str">
        <f>DT_Base!L8</f>
        <v>Hotelarias</v>
      </c>
      <c r="C31" s="51">
        <f>DT_Base!$N$8</f>
        <v>200</v>
      </c>
      <c r="D31" s="13"/>
      <c r="E31" s="13"/>
      <c r="F31" s="11"/>
      <c r="G31" s="11"/>
      <c r="H31" s="13"/>
      <c r="I31" s="11"/>
      <c r="J31" s="11"/>
      <c r="K31" s="11"/>
    </row>
    <row r="32" spans="1:11" s="10" customFormat="1" ht="18.5" x14ac:dyDescent="0.45">
      <c r="A32" s="13"/>
      <c r="B32" s="13"/>
      <c r="C32" s="13"/>
      <c r="D32" s="13"/>
      <c r="E32" s="13"/>
      <c r="F32" s="11"/>
      <c r="G32" s="11"/>
      <c r="H32" s="13"/>
      <c r="I32" s="11"/>
      <c r="J32" s="11"/>
      <c r="K32" s="11"/>
    </row>
    <row r="33" spans="1:11" s="10" customFormat="1" ht="18.5" x14ac:dyDescent="0.45">
      <c r="A33" s="13"/>
      <c r="B33" s="13"/>
      <c r="C33" s="13"/>
      <c r="D33" s="13"/>
      <c r="E33" s="13"/>
      <c r="F33" s="11"/>
      <c r="G33" s="11"/>
      <c r="H33" s="13"/>
      <c r="I33" s="11"/>
      <c r="J33" s="11"/>
      <c r="K33" s="11"/>
    </row>
  </sheetData>
  <sheetProtection algorithmName="SHA-512" hashValue="GkJ34D7GyQSvOOqRgoxMO4j1iAittsRY39GBXQ0VSH5CtsPuO0mzkt3aMWY1A8ysmk+fNGji3rRc5+JDEKySBw==" saltValue="VUelTCgediEiS4CUBx5g6w==" spinCount="100000" sheet="1" objects="1" scenarios="1"/>
  <dataValidations count="1">
    <dataValidation type="list" allowBlank="1" showInputMessage="1" showErrorMessage="1" sqref="C21" xr:uid="{F4003C3C-121B-4C67-8EA3-B2FE645ADA6B}">
      <formula1>"Conservador,Moderado,Agressivo"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9281-4762-41C3-BE05-8E46C6207FC7}">
  <sheetPr>
    <tabColor theme="1"/>
  </sheetPr>
  <dimension ref="B1:N20"/>
  <sheetViews>
    <sheetView showGridLines="0" workbookViewId="0">
      <selection activeCell="C6" sqref="C6"/>
    </sheetView>
  </sheetViews>
  <sheetFormatPr defaultRowHeight="14.5" x14ac:dyDescent="0.35"/>
  <cols>
    <col min="1" max="1" width="2.1796875" customWidth="1"/>
    <col min="2" max="2" width="26" style="26" bestFit="1" customWidth="1"/>
    <col min="3" max="3" width="14.81640625" bestFit="1" customWidth="1"/>
    <col min="4" max="4" width="11.08984375" bestFit="1" customWidth="1"/>
    <col min="5" max="5" width="4.36328125" bestFit="1" customWidth="1"/>
    <col min="6" max="6" width="7.1796875" style="6" customWidth="1"/>
    <col min="7" max="7" width="2.81640625" style="21" bestFit="1" customWidth="1"/>
    <col min="8" max="8" width="9.54296875" style="22" bestFit="1" customWidth="1"/>
    <col min="9" max="9" width="15.7265625" style="22" bestFit="1" customWidth="1"/>
    <col min="10" max="10" width="13.1796875" style="22" bestFit="1" customWidth="1"/>
    <col min="11" max="11" width="6.54296875" style="22" customWidth="1"/>
    <col min="12" max="12" width="14.81640625" style="21" bestFit="1" customWidth="1"/>
    <col min="13" max="13" width="11.6328125" style="21" bestFit="1" customWidth="1"/>
    <col min="14" max="14" width="10.453125" style="21" bestFit="1" customWidth="1"/>
  </cols>
  <sheetData>
    <row r="1" spans="2:14" ht="15" thickBot="1" x14ac:dyDescent="0.4"/>
    <row r="2" spans="2:14" s="23" customFormat="1" x14ac:dyDescent="0.35">
      <c r="B2" s="27" t="s">
        <v>22</v>
      </c>
      <c r="C2" s="28" t="s">
        <v>10</v>
      </c>
      <c r="D2" s="28" t="s">
        <v>23</v>
      </c>
      <c r="E2" s="29" t="s">
        <v>24</v>
      </c>
      <c r="F2" s="45"/>
      <c r="H2" s="38" t="s">
        <v>32</v>
      </c>
      <c r="I2" s="39" t="s">
        <v>31</v>
      </c>
      <c r="J2" s="29" t="s">
        <v>6</v>
      </c>
      <c r="K2" s="24"/>
      <c r="L2" s="54" t="s">
        <v>11</v>
      </c>
      <c r="M2" s="55" t="s">
        <v>12</v>
      </c>
      <c r="N2" s="52" t="s">
        <v>13</v>
      </c>
    </row>
    <row r="3" spans="2:14" x14ac:dyDescent="0.35">
      <c r="B3" s="30" t="str">
        <f>_xlfn.CONCAT(D3,"-",C3)</f>
        <v>Conservador-Papel</v>
      </c>
      <c r="C3" s="25" t="s">
        <v>15</v>
      </c>
      <c r="D3" s="25" t="s">
        <v>9</v>
      </c>
      <c r="E3" s="31">
        <v>0.3</v>
      </c>
      <c r="F3" s="1"/>
      <c r="G3" s="22">
        <v>2</v>
      </c>
      <c r="H3" s="40" t="s">
        <v>3</v>
      </c>
      <c r="I3" s="37">
        <f>-FV(Simulador!$C$15,DT_Base!G3*12,Simulador!$C$11)</f>
        <v>54461.727321163184</v>
      </c>
      <c r="J3" s="41">
        <f>I3*Rendimento_Carteira</f>
        <v>435.69381856930551</v>
      </c>
      <c r="L3" s="56" t="s">
        <v>15</v>
      </c>
      <c r="M3" s="53">
        <f>_xlfn.XLOOKUP(_xlfn.CONCAT(Simulador!$C$21,"-",L3),DT_Base!B:B,DT_Base!E:E,"Falso")</f>
        <v>0.32</v>
      </c>
      <c r="N3" s="57">
        <f>Simulador!$C$23*M3</f>
        <v>640</v>
      </c>
    </row>
    <row r="4" spans="2:14" x14ac:dyDescent="0.35">
      <c r="B4" s="30" t="str">
        <f t="shared" ref="B4:B20" si="0">_xlfn.CONCAT(D4,"-",C4)</f>
        <v>Conservador-Tijolo</v>
      </c>
      <c r="C4" s="25" t="s">
        <v>14</v>
      </c>
      <c r="D4" s="25" t="s">
        <v>9</v>
      </c>
      <c r="E4" s="31">
        <v>0.5</v>
      </c>
      <c r="F4" s="1"/>
      <c r="G4" s="22">
        <v>5</v>
      </c>
      <c r="H4" s="40" t="s">
        <v>4</v>
      </c>
      <c r="I4" s="37">
        <f>-FV(Simulador!$C$15,DT_Base!G4*12,Simulador!$C$11)</f>
        <v>167608.03871851688</v>
      </c>
      <c r="J4" s="41">
        <f>I4*Rendimento_Carteira</f>
        <v>1340.8643097481352</v>
      </c>
      <c r="L4" s="56" t="s">
        <v>14</v>
      </c>
      <c r="M4" s="53">
        <f>_xlfn.XLOOKUP(_xlfn.CONCAT(Simulador!$C$21,"-",L4),DT_Base!B:B,DT_Base!E:E,"Falso")</f>
        <v>0.35</v>
      </c>
      <c r="N4" s="57">
        <f>Simulador!$C$23*M4</f>
        <v>700</v>
      </c>
    </row>
    <row r="5" spans="2:14" x14ac:dyDescent="0.35">
      <c r="B5" s="30" t="str">
        <f t="shared" si="0"/>
        <v>Conservador-Híbridos</v>
      </c>
      <c r="C5" s="25" t="s">
        <v>16</v>
      </c>
      <c r="D5" s="25" t="s">
        <v>9</v>
      </c>
      <c r="E5" s="31">
        <v>0.1</v>
      </c>
      <c r="F5" s="1"/>
      <c r="G5" s="22">
        <v>10</v>
      </c>
      <c r="H5" s="40" t="s">
        <v>5</v>
      </c>
      <c r="I5" s="37">
        <f>-FV(Simulador!$C$15,DT_Base!G5*12,Simulador!$C$11)</f>
        <v>486915.33250960021</v>
      </c>
      <c r="J5" s="41">
        <f>I5*Rendimento_Carteira</f>
        <v>3895.3226600768016</v>
      </c>
      <c r="L5" s="56" t="s">
        <v>16</v>
      </c>
      <c r="M5" s="53">
        <f>_xlfn.XLOOKUP(_xlfn.CONCAT(Simulador!$C$21,"-",L5),DT_Base!B:B,DT_Base!E:E,"Falso")</f>
        <v>0.08</v>
      </c>
      <c r="N5" s="57">
        <f>Simulador!$C$23*M5</f>
        <v>160</v>
      </c>
    </row>
    <row r="6" spans="2:14" x14ac:dyDescent="0.35">
      <c r="B6" s="30" t="str">
        <f t="shared" si="0"/>
        <v>Conservador-FOF's</v>
      </c>
      <c r="C6" s="25" t="s">
        <v>17</v>
      </c>
      <c r="D6" s="25" t="s">
        <v>9</v>
      </c>
      <c r="E6" s="31">
        <v>0.05</v>
      </c>
      <c r="F6" s="1"/>
      <c r="G6" s="47">
        <v>15</v>
      </c>
      <c r="H6" s="40" t="s">
        <v>33</v>
      </c>
      <c r="I6" s="37">
        <f>-FV(Simulador!$C$15,DT_Base!G6*12,Simulador!$C$11)</f>
        <v>1095222.3603092236</v>
      </c>
      <c r="J6" s="41">
        <f>I6*Rendimento_Carteira</f>
        <v>8761.7788824737891</v>
      </c>
      <c r="L6" s="56" t="s">
        <v>17</v>
      </c>
      <c r="M6" s="53">
        <f>_xlfn.XLOOKUP(_xlfn.CONCAT(Simulador!$C$21,"-",L6),DT_Base!B:B,DT_Base!E:E,"Falso")</f>
        <v>0.05</v>
      </c>
      <c r="N6" s="57">
        <f>Simulador!$C$23*M6</f>
        <v>100</v>
      </c>
    </row>
    <row r="7" spans="2:14" x14ac:dyDescent="0.35">
      <c r="B7" s="30" t="str">
        <f t="shared" si="0"/>
        <v>Conservador-Desenvolvimento</v>
      </c>
      <c r="C7" s="25" t="s">
        <v>18</v>
      </c>
      <c r="D7" s="25" t="s">
        <v>9</v>
      </c>
      <c r="E7" s="31">
        <v>0.03</v>
      </c>
      <c r="F7" s="1"/>
      <c r="G7" s="22">
        <v>20</v>
      </c>
      <c r="H7" s="40" t="s">
        <v>2</v>
      </c>
      <c r="I7" s="37">
        <f>-FV(Simulador!$C$15,DT_Base!G7*12,Simulador!$C$11)</f>
        <v>2254097.9865970467</v>
      </c>
      <c r="J7" s="41">
        <f>I7*Rendimento_Carteira</f>
        <v>18032.783892776373</v>
      </c>
      <c r="L7" s="56" t="s">
        <v>18</v>
      </c>
      <c r="M7" s="53">
        <f>_xlfn.XLOOKUP(_xlfn.CONCAT(Simulador!$C$21,"-",L7),DT_Base!B:B,DT_Base!E:E,"Falso")</f>
        <v>0.1</v>
      </c>
      <c r="N7" s="57">
        <f>Simulador!$C$23*M7</f>
        <v>200</v>
      </c>
    </row>
    <row r="8" spans="2:14" ht="15" thickBot="1" x14ac:dyDescent="0.4">
      <c r="B8" s="30" t="str">
        <f t="shared" si="0"/>
        <v>Conservador-Hotelarias</v>
      </c>
      <c r="C8" s="25" t="s">
        <v>19</v>
      </c>
      <c r="D8" s="25" t="s">
        <v>9</v>
      </c>
      <c r="E8" s="31">
        <v>0.02</v>
      </c>
      <c r="F8" s="1"/>
      <c r="G8" s="22">
        <v>30</v>
      </c>
      <c r="H8" s="48" t="s">
        <v>1</v>
      </c>
      <c r="I8" s="49">
        <f>-FV(Simulador!$C$15,DT_Base!G8*12,Simulador!$C$11)</f>
        <v>8667809.6206335034</v>
      </c>
      <c r="J8" s="50">
        <f>I8*Rendimento_Carteira</f>
        <v>69342.476965068025</v>
      </c>
      <c r="L8" s="58" t="s">
        <v>19</v>
      </c>
      <c r="M8" s="59">
        <f>_xlfn.XLOOKUP(_xlfn.CONCAT(Simulador!$C$21,"-",L8),DT_Base!B:B,DT_Base!E:E,"Falso")</f>
        <v>0.1</v>
      </c>
      <c r="N8" s="60">
        <f>Simulador!$C$23*M8</f>
        <v>200</v>
      </c>
    </row>
    <row r="9" spans="2:14" x14ac:dyDescent="0.35">
      <c r="B9" s="30" t="str">
        <f t="shared" si="0"/>
        <v>Moderado-Papel</v>
      </c>
      <c r="C9" s="25" t="s">
        <v>15</v>
      </c>
      <c r="D9" s="25" t="s">
        <v>20</v>
      </c>
      <c r="E9" s="32">
        <v>0.32</v>
      </c>
      <c r="F9" s="1"/>
      <c r="G9" s="22">
        <v>40</v>
      </c>
      <c r="H9" s="48" t="s">
        <v>34</v>
      </c>
      <c r="I9" s="49">
        <f>-FV(Simulador!$C$15,DT_Base!G9*12,Simulador!$C$11)</f>
        <v>31945367.732370738</v>
      </c>
      <c r="J9" s="50">
        <f>I9*Rendimento_Carteira</f>
        <v>255562.9418589659</v>
      </c>
      <c r="L9" s="61" t="s">
        <v>37</v>
      </c>
      <c r="M9" s="62"/>
      <c r="N9" s="63">
        <f>SUM(N3:N8)</f>
        <v>2000</v>
      </c>
    </row>
    <row r="10" spans="2:14" ht="15" thickBot="1" x14ac:dyDescent="0.4">
      <c r="B10" s="30" t="str">
        <f t="shared" si="0"/>
        <v>Moderado-Tijolo</v>
      </c>
      <c r="C10" s="25" t="s">
        <v>14</v>
      </c>
      <c r="D10" s="25" t="s">
        <v>20</v>
      </c>
      <c r="E10" s="32">
        <v>0.35</v>
      </c>
      <c r="F10" s="1"/>
      <c r="G10" s="22">
        <v>50</v>
      </c>
      <c r="H10" s="42" t="s">
        <v>35</v>
      </c>
      <c r="I10" s="43">
        <f>-FV(Simulador!$C$15,DT_Base!G10*12,Simulador!$C$11)</f>
        <v>116427605.5632436</v>
      </c>
      <c r="J10" s="44">
        <f>I10*Rendimento_Carteira</f>
        <v>931420.84450594883</v>
      </c>
    </row>
    <row r="11" spans="2:14" x14ac:dyDescent="0.35">
      <c r="B11" s="30" t="str">
        <f t="shared" si="0"/>
        <v>Moderado-Híbridos</v>
      </c>
      <c r="C11" s="25" t="s">
        <v>16</v>
      </c>
      <c r="D11" s="25" t="s">
        <v>20</v>
      </c>
      <c r="E11" s="32">
        <v>0.08</v>
      </c>
      <c r="F11" s="1"/>
    </row>
    <row r="12" spans="2:14" x14ac:dyDescent="0.35">
      <c r="B12" s="30" t="str">
        <f t="shared" si="0"/>
        <v>Moderado-FOF's</v>
      </c>
      <c r="C12" s="25" t="s">
        <v>17</v>
      </c>
      <c r="D12" s="25" t="s">
        <v>20</v>
      </c>
      <c r="E12" s="32">
        <v>0.05</v>
      </c>
      <c r="F12" s="1"/>
    </row>
    <row r="13" spans="2:14" x14ac:dyDescent="0.35">
      <c r="B13" s="30" t="str">
        <f t="shared" si="0"/>
        <v>Moderado-Desenvolvimento</v>
      </c>
      <c r="C13" s="25" t="s">
        <v>18</v>
      </c>
      <c r="D13" s="25" t="s">
        <v>20</v>
      </c>
      <c r="E13" s="32">
        <v>0.1</v>
      </c>
      <c r="F13" s="1"/>
    </row>
    <row r="14" spans="2:14" x14ac:dyDescent="0.35">
      <c r="B14" s="30" t="str">
        <f t="shared" si="0"/>
        <v>Moderado-Hotelarias</v>
      </c>
      <c r="C14" s="25" t="s">
        <v>19</v>
      </c>
      <c r="D14" s="25" t="s">
        <v>20</v>
      </c>
      <c r="E14" s="33">
        <v>0.1</v>
      </c>
      <c r="F14" s="46"/>
    </row>
    <row r="15" spans="2:14" x14ac:dyDescent="0.35">
      <c r="B15" s="30" t="str">
        <f t="shared" si="0"/>
        <v>Agressivo-Papel</v>
      </c>
      <c r="C15" s="25" t="s">
        <v>15</v>
      </c>
      <c r="D15" s="25" t="s">
        <v>21</v>
      </c>
      <c r="E15" s="32">
        <v>0.5</v>
      </c>
      <c r="F15" s="1"/>
    </row>
    <row r="16" spans="2:14" x14ac:dyDescent="0.35">
      <c r="B16" s="30" t="str">
        <f t="shared" si="0"/>
        <v>Agressivo-Tijolo</v>
      </c>
      <c r="C16" s="25" t="s">
        <v>14</v>
      </c>
      <c r="D16" s="25" t="s">
        <v>21</v>
      </c>
      <c r="E16" s="32">
        <v>0.1</v>
      </c>
      <c r="F16" s="1"/>
    </row>
    <row r="17" spans="2:6" x14ac:dyDescent="0.35">
      <c r="B17" s="30" t="str">
        <f t="shared" si="0"/>
        <v>Agressivo-Híbridos</v>
      </c>
      <c r="C17" s="25" t="s">
        <v>16</v>
      </c>
      <c r="D17" s="25" t="s">
        <v>21</v>
      </c>
      <c r="E17" s="32">
        <v>0.05</v>
      </c>
      <c r="F17" s="1"/>
    </row>
    <row r="18" spans="2:6" x14ac:dyDescent="0.35">
      <c r="B18" s="30" t="str">
        <f t="shared" si="0"/>
        <v>Agressivo-FOF's</v>
      </c>
      <c r="C18" s="25" t="s">
        <v>17</v>
      </c>
      <c r="D18" s="25" t="s">
        <v>21</v>
      </c>
      <c r="E18" s="32">
        <v>0.05</v>
      </c>
      <c r="F18" s="1"/>
    </row>
    <row r="19" spans="2:6" x14ac:dyDescent="0.35">
      <c r="B19" s="30" t="str">
        <f t="shared" si="0"/>
        <v>Agressivo-Desenvolvimento</v>
      </c>
      <c r="C19" s="25" t="s">
        <v>18</v>
      </c>
      <c r="D19" s="25" t="s">
        <v>21</v>
      </c>
      <c r="E19" s="32">
        <v>0.2</v>
      </c>
      <c r="F19" s="1"/>
    </row>
    <row r="20" spans="2:6" ht="15" thickBot="1" x14ac:dyDescent="0.4">
      <c r="B20" s="34" t="str">
        <f t="shared" si="0"/>
        <v>Agressivo-Hotelarias</v>
      </c>
      <c r="C20" s="35" t="s">
        <v>19</v>
      </c>
      <c r="D20" s="35" t="s">
        <v>21</v>
      </c>
      <c r="E20" s="36">
        <v>0.1</v>
      </c>
      <c r="F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Instruções</vt:lpstr>
      <vt:lpstr>Simulador</vt:lpstr>
      <vt:lpstr>DT_Base</vt:lpstr>
      <vt:lpstr>Anos_Investidos</vt:lpstr>
      <vt:lpstr>Dividendo_Mensal</vt:lpstr>
      <vt:lpstr>Investimento_Mensal</vt:lpstr>
      <vt:lpstr>Patrimonio_Acumulado</vt:lpstr>
      <vt:lpstr>Rendimento_Carteira</vt:lpstr>
      <vt:lpstr>Salario</vt:lpstr>
      <vt:lpstr>Taxa_Rendimento</vt:lpstr>
    </vt:vector>
  </TitlesOfParts>
  <Company>Straumann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Ketlin Anjos</dc:creator>
  <cp:lastModifiedBy>Ketlin Anjos</cp:lastModifiedBy>
  <dcterms:created xsi:type="dcterms:W3CDTF">2025-12-27T21:10:13Z</dcterms:created>
  <dcterms:modified xsi:type="dcterms:W3CDTF">2025-12-28T19:13:56Z</dcterms:modified>
</cp:coreProperties>
</file>